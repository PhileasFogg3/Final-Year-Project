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hilip\Documents\GitHub\Terminal2\aisky\FYP DATA\Zero Tracks\"/>
    </mc:Choice>
  </mc:AlternateContent>
  <xr:revisionPtr revIDLastSave="0" documentId="13_ncr:1_{E6D2EB50-2C73-4961-A71D-6C5DF0B55A83}" xr6:coauthVersionLast="47" xr6:coauthVersionMax="47" xr10:uidLastSave="{00000000-0000-0000-0000-000000000000}"/>
  <bookViews>
    <workbookView minimized="1" xWindow="-24120" yWindow="4185" windowWidth="1878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0" i="1"/>
  <c r="R9" i="1"/>
  <c r="R8" i="1"/>
  <c r="R7" i="1"/>
  <c r="R6" i="1"/>
  <c r="R16" i="1"/>
  <c r="R19" i="1"/>
  <c r="R18" i="1"/>
  <c r="R17" i="1"/>
  <c r="R3" i="1"/>
  <c r="R4" i="1"/>
  <c r="R5" i="1"/>
  <c r="R11" i="1"/>
  <c r="R12" i="1"/>
  <c r="R13" i="1"/>
  <c r="R20" i="1"/>
  <c r="R21" i="1"/>
</calcChain>
</file>

<file path=xl/sharedStrings.xml><?xml version="1.0" encoding="utf-8"?>
<sst xmlns="http://schemas.openxmlformats.org/spreadsheetml/2006/main" count="91" uniqueCount="27">
  <si>
    <t>Aircraft Type</t>
  </si>
  <si>
    <t>Number of Aircraft</t>
  </si>
  <si>
    <t>Average Crossing Time</t>
  </si>
  <si>
    <t>B789</t>
  </si>
  <si>
    <t>B77W</t>
  </si>
  <si>
    <t>B788</t>
  </si>
  <si>
    <t>B772</t>
  </si>
  <si>
    <t>A359</t>
  </si>
  <si>
    <t>A333</t>
  </si>
  <si>
    <t>A332</t>
  </si>
  <si>
    <t>A339</t>
  </si>
  <si>
    <t>A35K</t>
  </si>
  <si>
    <t>B77L</t>
  </si>
  <si>
    <t>B748</t>
  </si>
  <si>
    <t>B78X</t>
  </si>
  <si>
    <t>B763</t>
  </si>
  <si>
    <t>B744</t>
  </si>
  <si>
    <t>B764</t>
  </si>
  <si>
    <t>A388</t>
  </si>
  <si>
    <t>A343</t>
  </si>
  <si>
    <t>B752</t>
  </si>
  <si>
    <t>A346</t>
  </si>
  <si>
    <t>Normal</t>
  </si>
  <si>
    <t>Low</t>
  </si>
  <si>
    <t>High</t>
  </si>
  <si>
    <t>Absolute Difference</t>
  </si>
  <si>
    <t>Interventions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</si>
</sst>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9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Rate of Increase of</a:t>
            </a:r>
            <a:r>
              <a:rPr lang="en-GB" baseline="0"/>
              <a:t> Aircraft Interventions with respect to Airspace Density for the OTS System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Sheet1!$B$24:$B$26</c:f>
              <c:numCache>
                <c:formatCode>0%</c:formatCode>
                <c:ptCount val="3"/>
                <c:pt idx="0">
                  <c:v>0.9</c:v>
                </c:pt>
                <c:pt idx="1">
                  <c:v>1</c:v>
                </c:pt>
                <c:pt idx="2">
                  <c:v>1.1000000000000001</c:v>
                </c:pt>
              </c:numCache>
            </c:numRef>
          </c:xVal>
          <c:yVal>
            <c:numRef>
              <c:f>Sheet1!$C$24:$C$26</c:f>
              <c:numCache>
                <c:formatCode>General</c:formatCode>
                <c:ptCount val="3"/>
                <c:pt idx="0">
                  <c:v>60719</c:v>
                </c:pt>
                <c:pt idx="1">
                  <c:v>118358</c:v>
                </c:pt>
                <c:pt idx="2">
                  <c:v>177004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92-4D2C-8178-AE0CF5DA9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045968"/>
        <c:axId val="625045488"/>
      </c:scatterChart>
      <c:valAx>
        <c:axId val="62504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Airspace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45488"/>
        <c:crosses val="autoZero"/>
        <c:crossBetween val="midCat"/>
      </c:valAx>
      <c:valAx>
        <c:axId val="62504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Interventions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4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247649</xdr:colOff>
      <xdr:row>24</xdr:row>
      <xdr:rowOff>42861</xdr:rowOff>
    </xdr:from>
    <xdr:to>
      <xdr:col>13</xdr:col>
      <xdr:colOff>676275</xdr:colOff>
      <xdr:row>47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EF46B-1266-6779-51CB-D98150152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6"/>
  <sheetViews>
    <sheetView tabSelected="1" workbookViewId="0">
      <selection activeCell="Q2" sqref="Q2:R21"/>
    </sheetView>
  </sheetViews>
  <sheetFormatPr defaultRowHeight="15" x14ac:dyDescent="0.25"/>
  <cols>
    <col min="2" max="2" width="14.7109375" customWidth="1"/>
    <col min="3" max="3" width="19.85546875" customWidth="1"/>
    <col min="4" max="4" width="21" customWidth="1"/>
    <col min="7" max="7" width="15.5703125" customWidth="1"/>
    <col min="8" max="8" width="17" customWidth="1"/>
    <col min="9" max="9" width="21.42578125" customWidth="1"/>
    <col min="12" max="12" width="14.7109375" customWidth="1"/>
    <col min="13" max="13" width="18" customWidth="1"/>
    <col min="14" max="14" width="22" customWidth="1"/>
    <col min="17" max="17" width="12" customWidth="1"/>
    <col min="18" max="18" width="19.85546875" customWidth="1"/>
  </cols>
  <sheetData>
    <row r="1" spans="2:18" x14ac:dyDescent="0.25">
      <c r="B1" s="3" t="s">
        <v>23</v>
      </c>
      <c r="C1" s="3"/>
      <c r="D1" s="3"/>
      <c r="G1" s="3" t="s">
        <v>22</v>
      </c>
      <c r="H1" s="3"/>
      <c r="I1" s="3"/>
      <c r="L1" s="3" t="s">
        <v>24</v>
      </c>
      <c r="M1" s="3"/>
      <c r="N1" s="3"/>
    </row>
    <row r="2" spans="2:18" x14ac:dyDescent="0.25">
      <c r="B2" t="s">
        <v>0</v>
      </c>
      <c r="C2" t="s">
        <v>1</v>
      </c>
      <c r="D2" t="s">
        <v>2</v>
      </c>
      <c r="G2" t="s">
        <v>0</v>
      </c>
      <c r="H2" t="s">
        <v>1</v>
      </c>
      <c r="I2" t="s">
        <v>2</v>
      </c>
      <c r="L2" t="s">
        <v>0</v>
      </c>
      <c r="M2" t="s">
        <v>1</v>
      </c>
      <c r="N2" t="s">
        <v>2</v>
      </c>
      <c r="Q2" t="s">
        <v>0</v>
      </c>
      <c r="R2" t="s">
        <v>25</v>
      </c>
    </row>
    <row r="3" spans="2:18" x14ac:dyDescent="0.25">
      <c r="B3" t="s">
        <v>3</v>
      </c>
      <c r="C3">
        <v>267</v>
      </c>
      <c r="D3">
        <v>135.5</v>
      </c>
      <c r="G3" t="s">
        <v>3</v>
      </c>
      <c r="H3">
        <v>372</v>
      </c>
      <c r="I3">
        <v>141.6</v>
      </c>
      <c r="L3" t="s">
        <v>3</v>
      </c>
      <c r="M3">
        <v>426</v>
      </c>
      <c r="N3">
        <v>140.1</v>
      </c>
      <c r="Q3" t="s">
        <v>3</v>
      </c>
      <c r="R3" s="1">
        <f xml:space="preserve"> (MAX(D3, I3, N3) - MIN(D3, I3, N3)) / AVERAGE(D3, I3, N3)</f>
        <v>4.3863854266538785E-2</v>
      </c>
    </row>
    <row r="4" spans="2:18" x14ac:dyDescent="0.25">
      <c r="B4" t="s">
        <v>4</v>
      </c>
      <c r="C4">
        <v>247</v>
      </c>
      <c r="D4">
        <v>128.30000000000001</v>
      </c>
      <c r="G4" t="s">
        <v>4</v>
      </c>
      <c r="H4">
        <v>319</v>
      </c>
      <c r="I4">
        <v>147.6</v>
      </c>
      <c r="L4" t="s">
        <v>4</v>
      </c>
      <c r="M4">
        <v>359</v>
      </c>
      <c r="N4">
        <v>140.80000000000001</v>
      </c>
      <c r="Q4" t="s">
        <v>4</v>
      </c>
      <c r="R4" s="1">
        <f t="shared" ref="R4:R21" si="0" xml:space="preserve"> (MAX(D4, I4, N4) - MIN(D4, I4, N4)) / AVERAGE(D4, I4, N4)</f>
        <v>0.13894888408927272</v>
      </c>
    </row>
    <row r="5" spans="2:18" x14ac:dyDescent="0.25">
      <c r="B5" t="s">
        <v>5</v>
      </c>
      <c r="C5">
        <v>231</v>
      </c>
      <c r="D5">
        <v>133.6</v>
      </c>
      <c r="G5" t="s">
        <v>5</v>
      </c>
      <c r="H5">
        <v>320</v>
      </c>
      <c r="I5">
        <v>150.6</v>
      </c>
      <c r="L5" t="s">
        <v>5</v>
      </c>
      <c r="M5">
        <v>311</v>
      </c>
      <c r="N5">
        <v>154.6</v>
      </c>
      <c r="Q5" t="s">
        <v>5</v>
      </c>
      <c r="R5" s="1">
        <f t="shared" si="0"/>
        <v>0.14357338195077485</v>
      </c>
    </row>
    <row r="6" spans="2:18" x14ac:dyDescent="0.25">
      <c r="B6" t="s">
        <v>6</v>
      </c>
      <c r="C6">
        <v>229</v>
      </c>
      <c r="D6">
        <v>164.4</v>
      </c>
      <c r="G6" t="s">
        <v>6</v>
      </c>
      <c r="H6">
        <v>316</v>
      </c>
      <c r="I6">
        <v>158.19999999999999</v>
      </c>
      <c r="L6" t="s">
        <v>6</v>
      </c>
      <c r="M6">
        <v>360</v>
      </c>
      <c r="N6">
        <v>156.9</v>
      </c>
      <c r="Q6" t="s">
        <v>6</v>
      </c>
      <c r="R6" s="1">
        <f t="shared" si="0"/>
        <v>4.692387904066736E-2</v>
      </c>
    </row>
    <row r="7" spans="2:18" x14ac:dyDescent="0.25">
      <c r="B7" t="s">
        <v>7</v>
      </c>
      <c r="C7">
        <v>174</v>
      </c>
      <c r="D7">
        <v>129.69999999999999</v>
      </c>
      <c r="G7" t="s">
        <v>7</v>
      </c>
      <c r="H7">
        <v>273</v>
      </c>
      <c r="I7">
        <v>141.69999999999999</v>
      </c>
      <c r="L7" t="s">
        <v>7</v>
      </c>
      <c r="M7">
        <v>274</v>
      </c>
      <c r="N7">
        <v>136.9</v>
      </c>
      <c r="Q7" t="s">
        <v>7</v>
      </c>
      <c r="R7" s="1">
        <f t="shared" si="0"/>
        <v>8.8170462894930204E-2</v>
      </c>
    </row>
    <row r="8" spans="2:18" x14ac:dyDescent="0.25">
      <c r="B8" t="s">
        <v>8</v>
      </c>
      <c r="C8">
        <v>185</v>
      </c>
      <c r="D8">
        <v>139.5</v>
      </c>
      <c r="G8" t="s">
        <v>8</v>
      </c>
      <c r="H8">
        <v>242</v>
      </c>
      <c r="I8">
        <v>144.9</v>
      </c>
      <c r="L8" t="s">
        <v>8</v>
      </c>
      <c r="M8">
        <v>307</v>
      </c>
      <c r="N8">
        <v>150</v>
      </c>
      <c r="Q8" t="s">
        <v>8</v>
      </c>
      <c r="R8" s="1">
        <f t="shared" si="0"/>
        <v>7.2513812154696142E-2</v>
      </c>
    </row>
    <row r="9" spans="2:18" x14ac:dyDescent="0.25">
      <c r="B9" t="s">
        <v>9</v>
      </c>
      <c r="C9">
        <v>137</v>
      </c>
      <c r="D9">
        <v>142</v>
      </c>
      <c r="G9" t="s">
        <v>9</v>
      </c>
      <c r="H9">
        <v>206</v>
      </c>
      <c r="I9">
        <v>149.69999999999999</v>
      </c>
      <c r="L9" t="s">
        <v>9</v>
      </c>
      <c r="M9">
        <v>168</v>
      </c>
      <c r="N9">
        <v>148.30000000000001</v>
      </c>
      <c r="Q9" t="s">
        <v>9</v>
      </c>
      <c r="R9" s="1">
        <f t="shared" si="0"/>
        <v>5.2499999999999929E-2</v>
      </c>
    </row>
    <row r="10" spans="2:18" x14ac:dyDescent="0.25">
      <c r="B10" t="s">
        <v>10</v>
      </c>
      <c r="C10">
        <v>132</v>
      </c>
      <c r="D10">
        <v>142.30000000000001</v>
      </c>
      <c r="G10" t="s">
        <v>10</v>
      </c>
      <c r="H10">
        <v>178</v>
      </c>
      <c r="I10">
        <v>156.1</v>
      </c>
      <c r="L10" t="s">
        <v>10</v>
      </c>
      <c r="M10">
        <v>199</v>
      </c>
      <c r="N10">
        <v>137.69999999999999</v>
      </c>
      <c r="Q10" t="s">
        <v>10</v>
      </c>
      <c r="R10" s="1">
        <f t="shared" si="0"/>
        <v>0.12657647328594365</v>
      </c>
    </row>
    <row r="11" spans="2:18" x14ac:dyDescent="0.25">
      <c r="B11" t="s">
        <v>11</v>
      </c>
      <c r="C11">
        <v>106</v>
      </c>
      <c r="D11">
        <v>144.5</v>
      </c>
      <c r="G11" t="s">
        <v>11</v>
      </c>
      <c r="H11">
        <v>141</v>
      </c>
      <c r="I11">
        <v>132.6</v>
      </c>
      <c r="L11" t="s">
        <v>11</v>
      </c>
      <c r="M11">
        <v>169</v>
      </c>
      <c r="N11">
        <v>143.4</v>
      </c>
      <c r="Q11" t="s">
        <v>11</v>
      </c>
      <c r="R11" s="1">
        <f t="shared" si="0"/>
        <v>8.4898929845422161E-2</v>
      </c>
    </row>
    <row r="12" spans="2:18" x14ac:dyDescent="0.25">
      <c r="B12" t="s">
        <v>12</v>
      </c>
      <c r="C12">
        <v>78</v>
      </c>
      <c r="D12">
        <v>134.5</v>
      </c>
      <c r="G12" t="s">
        <v>12</v>
      </c>
      <c r="H12">
        <v>127</v>
      </c>
      <c r="I12">
        <v>143</v>
      </c>
      <c r="L12" t="s">
        <v>12</v>
      </c>
      <c r="M12">
        <v>141</v>
      </c>
      <c r="N12">
        <v>142.6</v>
      </c>
      <c r="Q12" t="s">
        <v>12</v>
      </c>
      <c r="R12" s="1">
        <f t="shared" si="0"/>
        <v>6.0699833373006426E-2</v>
      </c>
    </row>
    <row r="13" spans="2:18" x14ac:dyDescent="0.25">
      <c r="B13" t="s">
        <v>13</v>
      </c>
      <c r="C13">
        <v>72</v>
      </c>
      <c r="D13">
        <v>160.1</v>
      </c>
      <c r="G13" t="s">
        <v>13</v>
      </c>
      <c r="H13">
        <v>98</v>
      </c>
      <c r="I13">
        <v>158.5</v>
      </c>
      <c r="L13" t="s">
        <v>13</v>
      </c>
      <c r="M13">
        <v>107</v>
      </c>
      <c r="N13">
        <v>158</v>
      </c>
      <c r="Q13" t="s">
        <v>13</v>
      </c>
      <c r="R13" s="1">
        <f t="shared" si="0"/>
        <v>1.3218631976500174E-2</v>
      </c>
    </row>
    <row r="14" spans="2:18" x14ac:dyDescent="0.25">
      <c r="B14" t="s">
        <v>14</v>
      </c>
      <c r="C14">
        <v>66</v>
      </c>
      <c r="D14">
        <v>154.1</v>
      </c>
      <c r="G14" t="s">
        <v>14</v>
      </c>
      <c r="H14">
        <v>92</v>
      </c>
      <c r="I14">
        <v>159.80000000000001</v>
      </c>
      <c r="L14" t="s">
        <v>14</v>
      </c>
      <c r="M14">
        <v>113</v>
      </c>
      <c r="N14">
        <v>155.5</v>
      </c>
      <c r="Q14" t="s">
        <v>14</v>
      </c>
      <c r="R14" s="1">
        <f t="shared" si="0"/>
        <v>3.6429484448231894E-2</v>
      </c>
    </row>
    <row r="15" spans="2:18" x14ac:dyDescent="0.25">
      <c r="B15" t="s">
        <v>15</v>
      </c>
      <c r="C15">
        <v>108</v>
      </c>
      <c r="D15">
        <v>182.1</v>
      </c>
      <c r="G15" t="s">
        <v>15</v>
      </c>
      <c r="H15">
        <v>131</v>
      </c>
      <c r="I15">
        <v>177.7</v>
      </c>
      <c r="L15" t="s">
        <v>15</v>
      </c>
      <c r="M15">
        <v>154</v>
      </c>
      <c r="N15">
        <v>174.8</v>
      </c>
      <c r="Q15" t="s">
        <v>15</v>
      </c>
      <c r="R15" s="1">
        <f t="shared" si="0"/>
        <v>4.0965207631874209E-2</v>
      </c>
    </row>
    <row r="16" spans="2:18" x14ac:dyDescent="0.25">
      <c r="B16" t="s">
        <v>16</v>
      </c>
      <c r="C16">
        <v>79</v>
      </c>
      <c r="D16">
        <v>156.19999999999999</v>
      </c>
      <c r="G16" t="s">
        <v>16</v>
      </c>
      <c r="H16">
        <v>96</v>
      </c>
      <c r="I16">
        <v>161.5</v>
      </c>
      <c r="L16" t="s">
        <v>16</v>
      </c>
      <c r="M16">
        <v>102</v>
      </c>
      <c r="N16">
        <v>152.30000000000001</v>
      </c>
      <c r="Q16" t="s">
        <v>16</v>
      </c>
      <c r="R16" s="1">
        <f t="shared" si="0"/>
        <v>5.8723404255319078E-2</v>
      </c>
    </row>
    <row r="17" spans="2:18" x14ac:dyDescent="0.25">
      <c r="B17" t="s">
        <v>17</v>
      </c>
      <c r="C17">
        <v>53</v>
      </c>
      <c r="D17">
        <v>180.9</v>
      </c>
      <c r="G17" t="s">
        <v>17</v>
      </c>
      <c r="H17">
        <v>68</v>
      </c>
      <c r="I17">
        <v>178.6</v>
      </c>
      <c r="L17" t="s">
        <v>17</v>
      </c>
      <c r="M17">
        <v>82</v>
      </c>
      <c r="N17">
        <v>170.5</v>
      </c>
      <c r="Q17" t="s">
        <v>17</v>
      </c>
      <c r="R17" s="1">
        <f t="shared" si="0"/>
        <v>5.8867924528301925E-2</v>
      </c>
    </row>
    <row r="18" spans="2:18" x14ac:dyDescent="0.25">
      <c r="B18" t="s">
        <v>18</v>
      </c>
      <c r="C18">
        <v>45</v>
      </c>
      <c r="D18">
        <v>159.4</v>
      </c>
      <c r="G18" t="s">
        <v>18</v>
      </c>
      <c r="H18">
        <v>81</v>
      </c>
      <c r="I18">
        <v>148.30000000000001</v>
      </c>
      <c r="L18" t="s">
        <v>18</v>
      </c>
      <c r="M18">
        <v>85</v>
      </c>
      <c r="N18">
        <v>151.6</v>
      </c>
      <c r="Q18" t="s">
        <v>18</v>
      </c>
      <c r="R18" s="1">
        <f t="shared" si="0"/>
        <v>7.2501632919660303E-2</v>
      </c>
    </row>
    <row r="19" spans="2:18" x14ac:dyDescent="0.25">
      <c r="B19" t="s">
        <v>19</v>
      </c>
      <c r="C19">
        <v>26</v>
      </c>
      <c r="D19">
        <v>141.6</v>
      </c>
      <c r="G19" t="s">
        <v>19</v>
      </c>
      <c r="H19">
        <v>27</v>
      </c>
      <c r="I19">
        <v>142.9</v>
      </c>
      <c r="L19" t="s">
        <v>19</v>
      </c>
      <c r="M19">
        <v>42</v>
      </c>
      <c r="N19">
        <v>127.7</v>
      </c>
      <c r="Q19" t="s">
        <v>19</v>
      </c>
      <c r="R19" s="1">
        <f t="shared" si="0"/>
        <v>0.11062590975254732</v>
      </c>
    </row>
    <row r="20" spans="2:18" x14ac:dyDescent="0.25">
      <c r="B20" t="s">
        <v>20</v>
      </c>
      <c r="C20">
        <v>19</v>
      </c>
      <c r="D20">
        <v>152</v>
      </c>
      <c r="G20" t="s">
        <v>20</v>
      </c>
      <c r="H20">
        <v>29</v>
      </c>
      <c r="I20">
        <v>171.2</v>
      </c>
      <c r="L20" t="s">
        <v>20</v>
      </c>
      <c r="M20">
        <v>33</v>
      </c>
      <c r="N20">
        <v>149.5</v>
      </c>
      <c r="Q20" t="s">
        <v>20</v>
      </c>
      <c r="R20" s="1">
        <f t="shared" si="0"/>
        <v>0.13771948381637394</v>
      </c>
    </row>
    <row r="21" spans="2:18" x14ac:dyDescent="0.25">
      <c r="B21" t="s">
        <v>21</v>
      </c>
      <c r="C21">
        <v>23</v>
      </c>
      <c r="D21">
        <v>165.6</v>
      </c>
      <c r="G21" t="s">
        <v>21</v>
      </c>
      <c r="H21">
        <v>41</v>
      </c>
      <c r="I21">
        <v>137.80000000000001</v>
      </c>
      <c r="L21" t="s">
        <v>21</v>
      </c>
      <c r="M21">
        <v>42</v>
      </c>
      <c r="N21">
        <v>156.80000000000001</v>
      </c>
      <c r="Q21" t="s">
        <v>21</v>
      </c>
      <c r="R21" s="1">
        <f t="shared" si="0"/>
        <v>0.18122555410690991</v>
      </c>
    </row>
    <row r="23" spans="2:18" x14ac:dyDescent="0.25">
      <c r="C23" t="s">
        <v>26</v>
      </c>
    </row>
    <row r="24" spans="2:18" x14ac:dyDescent="0.25">
      <c r="B24" s="2">
        <v>0.9</v>
      </c>
      <c r="C24" s="4">
        <v>60719</v>
      </c>
    </row>
    <row r="25" spans="2:18" x14ac:dyDescent="0.25">
      <c r="B25" s="2">
        <v>1</v>
      </c>
      <c r="C25" s="4">
        <v>118358</v>
      </c>
    </row>
    <row r="26" spans="2:18" x14ac:dyDescent="0.25">
      <c r="B26" s="2">
        <v>1.1000000000000001</v>
      </c>
      <c r="C26" s="4">
        <v>177004</v>
      </c>
    </row>
  </sheetData>
  <mergeCells count="3">
    <mergeCell ref="G1:I1"/>
    <mergeCell ref="B1:D1"/>
    <mergeCell ref="L1:N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Beswick</dc:creator>
  <cp:lastModifiedBy>Philip Beswick</cp:lastModifiedBy>
  <dcterms:created xsi:type="dcterms:W3CDTF">2015-06-05T18:17:20Z</dcterms:created>
  <dcterms:modified xsi:type="dcterms:W3CDTF">2025-04-25T12:32:16Z</dcterms:modified>
</cp:coreProperties>
</file>